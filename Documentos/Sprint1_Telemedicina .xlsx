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wnloads\mediCampo-v2\Documentos\"/>
    </mc:Choice>
  </mc:AlternateContent>
  <xr:revisionPtr revIDLastSave="0" documentId="13_ncr:1_{B70490AF-FEA6-4859-9C4C-365D34EC81C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lease Plan" sheetId="1" r:id="rId1"/>
    <sheet name="Development Plan V2" sheetId="6" r:id="rId2"/>
    <sheet name="Listas" sheetId="4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12" i="1" s="1"/>
  <c r="H9" i="1"/>
  <c r="H8" i="1"/>
  <c r="H7" i="1"/>
  <c r="H6" i="1"/>
  <c r="H5" i="1"/>
  <c r="H12" i="1" s="1"/>
  <c r="D12" i="1"/>
  <c r="E26" i="6"/>
  <c r="B1" i="6"/>
  <c r="E10" i="1"/>
  <c r="E12" i="1" s="1"/>
  <c r="F11" i="1"/>
  <c r="E11" i="1"/>
  <c r="F10" i="1"/>
  <c r="G9" i="1"/>
  <c r="G8" i="1"/>
  <c r="G7" i="1"/>
  <c r="G6" i="1"/>
  <c r="G5" i="1"/>
  <c r="G12" i="1" s="1"/>
  <c r="F5" i="1"/>
  <c r="C12" i="1"/>
  <c r="F12" i="1"/>
</calcChain>
</file>

<file path=xl/sharedStrings.xml><?xml version="1.0" encoding="utf-8"?>
<sst xmlns="http://schemas.openxmlformats.org/spreadsheetml/2006/main" count="152" uniqueCount="80">
  <si>
    <t>Proyecto:</t>
  </si>
  <si>
    <t>Plataforma de Telemedicina para Zonas Rurales</t>
  </si>
  <si>
    <t>Versión:</t>
  </si>
  <si>
    <t>Inicio</t>
  </si>
  <si>
    <t>Fin</t>
  </si>
  <si>
    <t>Product Backlog y Release</t>
  </si>
  <si>
    <t>Sprint 1</t>
  </si>
  <si>
    <t>Sprint 2</t>
  </si>
  <si>
    <t>Sprint 3</t>
  </si>
  <si>
    <t>Historia</t>
  </si>
  <si>
    <t>Descripción (Historia de Usuario)</t>
  </si>
  <si>
    <t>Esfuerzo
(hrs)</t>
  </si>
  <si>
    <t>Sprint</t>
  </si>
  <si>
    <t>Esfuerzo
Sprint-1</t>
  </si>
  <si>
    <t>Esfuerzo
Sprint-2</t>
  </si>
  <si>
    <t>Esfuerzo
Sprint-3</t>
  </si>
  <si>
    <t>H0</t>
  </si>
  <si>
    <t>Tareas técnicas de preparación (configuración inicial del entorno, repositorio y herramientas IA)</t>
  </si>
  <si>
    <t>H1</t>
  </si>
  <si>
    <t>Yo como paciente necesito una videollamada de tal manera que sea segura entre paciente y médico, con una interfaz accesible a mis necesidades desde mi vision</t>
  </si>
  <si>
    <t>H2</t>
  </si>
  <si>
    <t>Yo como medico durante la videollamda necesito poder ver el registro del paciente y consulta de su historial clínico en la post-consulta</t>
  </si>
  <si>
    <t>H3</t>
  </si>
  <si>
    <t>Yo como Paciente Rural necesito registrarme e iniciar sesión en la plataforma para acceder de forma segura a mis consultas médicas sin trasladarme.</t>
  </si>
  <si>
    <t>H4</t>
  </si>
  <si>
    <t>Yo como Paciente Rural necesito agendar una teleconsulta con un médico disponible para recibir atención médica remota sin costos de traslado.</t>
  </si>
  <si>
    <t>H5</t>
  </si>
  <si>
    <t>Yo como paciente necesito un registro de notificaciones automáticas de recordatorio del dia y hora de la cita que he agendado al médico correspondiente</t>
  </si>
  <si>
    <t>H6</t>
  </si>
  <si>
    <t>Yo como administrador necesito un panel de administración para la gestión de usuarios con la finalidad de realizar las acciones de administración correspondientes</t>
  </si>
  <si>
    <t>TOTAL</t>
  </si>
  <si>
    <t>Comentarios al template</t>
  </si>
  <si>
    <t>1) En esta hoja se ingresan las historias de usuario (casos de uso) del backlog completo del proyecto.</t>
  </si>
  <si>
    <t>2) Las historias priorizadas para Sprint 1 (H0, H1, H2) corresponden a la base funcional mínima.</t>
  </si>
  <si>
    <t>3) El esfuerzo estimado se basa en horas de trabajo universitario: ~2 hrs/día por persona, 3 integrantes activos.</t>
  </si>
  <si>
    <t>4) Las historias H3-H6 quedan proyectadas para sprints futuros del semestre.</t>
  </si>
  <si>
    <t>Importante: Actualizar la hoja 'Listas' con los nombres del equipo de desarrollo.</t>
  </si>
  <si>
    <t xml:space="preserve"> </t>
  </si>
  <si>
    <t>Sprint (Development) Plan — Sprint 1</t>
  </si>
  <si>
    <t>Tarea</t>
  </si>
  <si>
    <t>Asignado a</t>
  </si>
  <si>
    <t>Estado</t>
  </si>
  <si>
    <t>HU0</t>
  </si>
  <si>
    <t>Configurar repositorio Git (GitHub) y estructura de carpetas del proyecto</t>
  </si>
  <si>
    <t>Todos</t>
  </si>
  <si>
    <t>Terminado</t>
  </si>
  <si>
    <t>Instalar y configurar entorno de desarrollo (VS Code, extensiones IA: GitHub Copilot o similar)</t>
  </si>
  <si>
    <t>Crear estructura base del proyecto (carpetas: frontend/, backend/, docs/)</t>
  </si>
  <si>
    <t>Ignacio Ampuero</t>
  </si>
  <si>
    <t>Documentar stack tecnológico seleccionado y justificación con IA</t>
  </si>
  <si>
    <t>James Honeyman</t>
  </si>
  <si>
    <t>HU1</t>
  </si>
  <si>
    <t xml:space="preserve">Diseñar wireframe de la pantalla de teleconsulta. </t>
  </si>
  <si>
    <t>Generar prompt para IA (bolt.new) que produzca el código HTML/CSS/JS de la interfaz de la videollamada simulada (junto a botones de silenciar, apagar, cámara y finalizar).</t>
  </si>
  <si>
    <t>Vicente Ramirez</t>
  </si>
  <si>
    <t>Generar prompt para la lógica de simulación de videollamada. Se usó un videó estatico para el ejemplo para el médico.</t>
  </si>
  <si>
    <t xml:space="preserve">Revisar, ajustar y documentar el código generado por Bolt, verificando que cumpla con los criterios de aceptación. </t>
  </si>
  <si>
    <t>HU2</t>
  </si>
  <si>
    <t>Diseñar el wireframe del panel de historial clínico del médico.</t>
  </si>
  <si>
    <t>Generar prompt para IA (Bolt.new) que construya la vista de historial clínico con datos simulados en memoria.</t>
  </si>
  <si>
    <t>Generar prompt para la lógica de guardado, al hacer clic en “Guardar", mosrar un mensaje de confirmación.</t>
  </si>
  <si>
    <t>Revisar la coherencia visual entre ambas vistas (colores, tipografía, espaciado).</t>
  </si>
  <si>
    <t>HU3</t>
  </si>
  <si>
    <t>Diseñar wireframe de pantalla de registro e inicio de sesión con IA (prompt → imagen)</t>
  </si>
  <si>
    <t>Pendiente</t>
  </si>
  <si>
    <t>Generar prompt para IA: código HTML/CSS del formulario de registro</t>
  </si>
  <si>
    <t>Vicente Ramírez</t>
  </si>
  <si>
    <t>Generar prompt para IA: lógica de autenticación básica (validación de campos)</t>
  </si>
  <si>
    <t>Revisar y ajustar el código generado por IA, documentar cambios</t>
  </si>
  <si>
    <t>HU4</t>
  </si>
  <si>
    <t>Diseñar wireframe de pantalla de agendamiento de consulta con IA (prompt → imagen)</t>
  </si>
  <si>
    <t>Generar prompt para IA: código HTML/CSS del formulario de reserva de cita</t>
  </si>
  <si>
    <t>Generar prompt para IA: lógica de selección de médico y disponibilidad horaria</t>
  </si>
  <si>
    <t>Integrar formulario de reserva con estructura de base de datos básica (tabla citas)</t>
  </si>
  <si>
    <t>Revisar, testear flujo completo y documentar resultado del sprint</t>
  </si>
  <si>
    <t>Developer</t>
  </si>
  <si>
    <t>Activo</t>
  </si>
  <si>
    <t>Reemplazar en la lista Developer los nombres del equipo activo. Si hay menos integrantes, eliminar filas del medio.</t>
  </si>
  <si>
    <t>Si se incorpora un nuevo integrante al sprint, insertar una fila entre la última persona y 'Todos'.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</si>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</sst>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375623"/>
      <name val="Arial"/>
      <charset val="1"/>
    </font>
    <font>
      <sz val="10"/>
      <color rgb="FF843C0C"/>
      <name val="Arial"/>
      <charset val="1"/>
    </font>
    <font>
      <b/>
      <sz val="10"/>
      <color theme="0"/>
      <name val="Arial"/>
      <charset val="1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FD966"/>
        <bgColor rgb="FFFFCC00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3" xfId="0" applyBorder="1"/>
    <xf numFmtId="0" fontId="6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4" fillId="8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2F2F2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843C0C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showGridLines="0" tabSelected="1" zoomScaleNormal="100" workbookViewId="0">
      <selection activeCell="F12" sqref="F12"/>
    </sheetView>
  </sheetViews>
  <sheetFormatPr baseColWidth="10" defaultColWidth="8.6640625" defaultRowHeight="14.4" x14ac:dyDescent="0.3"/>
  <cols>
    <col min="1" max="1" width="12.44140625" customWidth="1"/>
    <col min="2" max="2" width="52" customWidth="1"/>
    <col min="3" max="3" width="14" customWidth="1"/>
    <col min="4" max="4" width="16" customWidth="1"/>
    <col min="5" max="7" width="18" customWidth="1"/>
    <col min="8" max="8" width="16.109375" customWidth="1"/>
    <col min="9" max="9" width="14.77734375" customWidth="1"/>
  </cols>
  <sheetData>
    <row r="1" spans="1:9" ht="30" customHeight="1" x14ac:dyDescent="0.3">
      <c r="A1" s="1" t="s">
        <v>0</v>
      </c>
      <c r="B1" s="34" t="s">
        <v>1</v>
      </c>
      <c r="C1" s="34"/>
      <c r="D1" s="34"/>
      <c r="E1" s="34"/>
      <c r="F1" s="34"/>
      <c r="G1" s="34"/>
    </row>
    <row r="2" spans="1:9" ht="19.5" customHeight="1" x14ac:dyDescent="0.3">
      <c r="A2" s="2" t="s">
        <v>2</v>
      </c>
      <c r="B2" s="3" t="s">
        <v>79</v>
      </c>
      <c r="C2" s="4"/>
      <c r="D2" s="2" t="s">
        <v>3</v>
      </c>
      <c r="E2" s="39" t="s">
        <v>4</v>
      </c>
      <c r="F2" s="40" t="s">
        <v>3</v>
      </c>
      <c r="G2" s="40" t="s">
        <v>4</v>
      </c>
      <c r="H2" s="40" t="s">
        <v>3</v>
      </c>
      <c r="I2" s="40" t="s">
        <v>4</v>
      </c>
    </row>
    <row r="3" spans="1:9" ht="31.5" customHeight="1" x14ac:dyDescent="0.3">
      <c r="A3" s="5" t="s">
        <v>5</v>
      </c>
      <c r="B3" s="38"/>
      <c r="C3" s="6" t="s">
        <v>6</v>
      </c>
      <c r="D3" s="7">
        <v>46097</v>
      </c>
      <c r="E3" s="7">
        <v>46101</v>
      </c>
      <c r="F3" s="6" t="s">
        <v>7</v>
      </c>
      <c r="G3" s="6" t="s">
        <v>7</v>
      </c>
      <c r="H3" s="6" t="s">
        <v>8</v>
      </c>
      <c r="I3" s="6" t="s">
        <v>8</v>
      </c>
    </row>
    <row r="4" spans="1:9" ht="30" customHeight="1" x14ac:dyDescent="0.3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8" t="s">
        <v>14</v>
      </c>
      <c r="H4" s="8" t="s">
        <v>15</v>
      </c>
      <c r="I4" s="8" t="s">
        <v>15</v>
      </c>
    </row>
    <row r="5" spans="1:9" ht="37.5" customHeight="1" x14ac:dyDescent="0.3">
      <c r="A5" s="9" t="s">
        <v>16</v>
      </c>
      <c r="B5" s="10" t="s">
        <v>17</v>
      </c>
      <c r="C5" s="3">
        <v>11</v>
      </c>
      <c r="D5" s="3">
        <v>6</v>
      </c>
      <c r="E5" s="3">
        <v>5</v>
      </c>
      <c r="F5" s="3">
        <f t="shared" ref="F5:F11" si="0">IF(D5=2,C5,0)</f>
        <v>0</v>
      </c>
      <c r="G5" s="3">
        <f t="shared" ref="G5:I9" si="1">IF(D5=3,C5,0)</f>
        <v>0</v>
      </c>
      <c r="H5" s="3">
        <f>IF(E5=3,D5,0)</f>
        <v>0</v>
      </c>
      <c r="I5" s="3">
        <f t="shared" si="1"/>
        <v>0</v>
      </c>
    </row>
    <row r="6" spans="1:9" ht="37.5" customHeight="1" x14ac:dyDescent="0.3">
      <c r="A6" s="11" t="s">
        <v>18</v>
      </c>
      <c r="B6" s="12" t="s">
        <v>19</v>
      </c>
      <c r="C6" s="13">
        <v>16</v>
      </c>
      <c r="D6" s="13">
        <v>8</v>
      </c>
      <c r="E6" s="13">
        <v>8</v>
      </c>
      <c r="F6" s="13">
        <v>0</v>
      </c>
      <c r="G6" s="13">
        <f t="shared" si="1"/>
        <v>0</v>
      </c>
      <c r="H6" s="13">
        <f>IF(E6=3,D6,0)</f>
        <v>0</v>
      </c>
      <c r="I6" s="13">
        <f t="shared" si="1"/>
        <v>0</v>
      </c>
    </row>
    <row r="7" spans="1:9" ht="37.5" customHeight="1" x14ac:dyDescent="0.3">
      <c r="A7" s="9" t="s">
        <v>20</v>
      </c>
      <c r="B7" s="10" t="s">
        <v>21</v>
      </c>
      <c r="C7" s="3">
        <v>12</v>
      </c>
      <c r="D7" s="3">
        <v>6</v>
      </c>
      <c r="E7" s="3">
        <v>6</v>
      </c>
      <c r="F7" s="3">
        <v>0</v>
      </c>
      <c r="G7" s="3">
        <f t="shared" si="1"/>
        <v>0</v>
      </c>
      <c r="H7" s="3">
        <f>IF(E7=3,D7,0)</f>
        <v>0</v>
      </c>
      <c r="I7" s="3">
        <f t="shared" si="1"/>
        <v>0</v>
      </c>
    </row>
    <row r="8" spans="1:9" ht="37.5" customHeight="1" x14ac:dyDescent="0.3">
      <c r="A8" s="11" t="s">
        <v>22</v>
      </c>
      <c r="B8" s="12" t="s">
        <v>23</v>
      </c>
      <c r="C8" s="13">
        <v>0</v>
      </c>
      <c r="D8" s="13">
        <v>0</v>
      </c>
      <c r="E8" s="13">
        <v>0</v>
      </c>
      <c r="F8" s="13">
        <v>0</v>
      </c>
      <c r="G8" s="13">
        <f t="shared" si="1"/>
        <v>0</v>
      </c>
      <c r="H8" s="13">
        <f>IF(E8=3,D8,0)</f>
        <v>0</v>
      </c>
      <c r="I8" s="13">
        <f t="shared" si="1"/>
        <v>0</v>
      </c>
    </row>
    <row r="9" spans="1:9" ht="37.5" customHeight="1" x14ac:dyDescent="0.3">
      <c r="A9" s="9" t="s">
        <v>24</v>
      </c>
      <c r="B9" s="10" t="s">
        <v>25</v>
      </c>
      <c r="C9" s="3">
        <v>0</v>
      </c>
      <c r="D9" s="3">
        <v>0</v>
      </c>
      <c r="E9" s="3">
        <v>0</v>
      </c>
      <c r="F9" s="3">
        <v>0</v>
      </c>
      <c r="G9" s="3">
        <f t="shared" si="1"/>
        <v>0</v>
      </c>
      <c r="H9" s="3">
        <f>IF(E9=3,D9,0)</f>
        <v>0</v>
      </c>
      <c r="I9" s="3">
        <f t="shared" si="1"/>
        <v>0</v>
      </c>
    </row>
    <row r="10" spans="1:9" ht="37.5" customHeight="1" x14ac:dyDescent="0.3">
      <c r="A10" s="11" t="s">
        <v>26</v>
      </c>
      <c r="B10" s="12" t="s">
        <v>27</v>
      </c>
      <c r="C10" s="13">
        <v>0</v>
      </c>
      <c r="D10" s="13">
        <v>0</v>
      </c>
      <c r="E10" s="13">
        <f t="shared" ref="E10:E11" si="2">IF(D10=1,C10,0)</f>
        <v>0</v>
      </c>
      <c r="F10" s="13">
        <f t="shared" si="0"/>
        <v>0</v>
      </c>
      <c r="G10" s="13">
        <v>0</v>
      </c>
      <c r="H10" s="13">
        <v>0</v>
      </c>
      <c r="I10" s="13">
        <v>0</v>
      </c>
    </row>
    <row r="11" spans="1:9" ht="37.5" customHeight="1" x14ac:dyDescent="0.3">
      <c r="A11" s="9" t="s">
        <v>28</v>
      </c>
      <c r="B11" s="10" t="s">
        <v>29</v>
      </c>
      <c r="C11" s="3">
        <v>0</v>
      </c>
      <c r="D11" s="3">
        <v>0</v>
      </c>
      <c r="E11" s="3">
        <f t="shared" si="2"/>
        <v>0</v>
      </c>
      <c r="F11" s="3">
        <f t="shared" si="0"/>
        <v>0</v>
      </c>
      <c r="G11" s="3">
        <v>0</v>
      </c>
      <c r="H11" s="3">
        <v>0</v>
      </c>
      <c r="I11" s="3">
        <v>0</v>
      </c>
    </row>
    <row r="12" spans="1:9" ht="19.5" customHeight="1" x14ac:dyDescent="0.3">
      <c r="A12" s="1" t="s">
        <v>30</v>
      </c>
      <c r="B12" s="14"/>
      <c r="C12" s="1">
        <f>SUM(C5:C11)</f>
        <v>39</v>
      </c>
      <c r="D12" s="28">
        <f>SUM(D5:D11)</f>
        <v>20</v>
      </c>
      <c r="E12" s="1">
        <f>SUM(E5:E11)</f>
        <v>19</v>
      </c>
      <c r="F12" s="1">
        <f>SUM(F5:F11)</f>
        <v>0</v>
      </c>
      <c r="G12" s="1">
        <f>SUM(G5:G11)</f>
        <v>0</v>
      </c>
      <c r="H12" s="1">
        <f>SUM(H5:H11)</f>
        <v>0</v>
      </c>
      <c r="I12" s="1">
        <f>SUM(I5:I11)</f>
        <v>0</v>
      </c>
    </row>
    <row r="14" spans="1:9" x14ac:dyDescent="0.3">
      <c r="A14" s="35" t="s">
        <v>31</v>
      </c>
      <c r="B14" s="35"/>
      <c r="C14" s="35"/>
      <c r="D14" s="35"/>
      <c r="E14" s="35"/>
      <c r="F14" s="35"/>
      <c r="G14" s="35"/>
    </row>
    <row r="15" spans="1:9" ht="18" customHeight="1" x14ac:dyDescent="0.3">
      <c r="A15" s="33" t="s">
        <v>32</v>
      </c>
      <c r="B15" s="33"/>
      <c r="C15" s="33"/>
      <c r="D15" s="33"/>
      <c r="E15" s="33"/>
      <c r="F15" s="33"/>
      <c r="G15" s="33"/>
    </row>
    <row r="16" spans="1:9" ht="18" customHeight="1" x14ac:dyDescent="0.3">
      <c r="A16" s="33" t="s">
        <v>33</v>
      </c>
      <c r="B16" s="33"/>
      <c r="C16" s="33"/>
      <c r="D16" s="33"/>
      <c r="E16" s="33"/>
      <c r="F16" s="33"/>
      <c r="G16" s="33"/>
    </row>
    <row r="17" spans="1:7" ht="18" customHeight="1" x14ac:dyDescent="0.3">
      <c r="A17" s="33" t="s">
        <v>34</v>
      </c>
      <c r="B17" s="33"/>
      <c r="C17" s="33"/>
      <c r="D17" s="33"/>
      <c r="E17" s="33"/>
      <c r="F17" s="33"/>
      <c r="G17" s="33"/>
    </row>
    <row r="18" spans="1:7" ht="18" customHeight="1" x14ac:dyDescent="0.3">
      <c r="A18" s="33" t="s">
        <v>35</v>
      </c>
      <c r="B18" s="33"/>
      <c r="C18" s="33"/>
      <c r="D18" s="33"/>
      <c r="E18" s="33"/>
      <c r="F18" s="33"/>
      <c r="G18" s="33"/>
    </row>
    <row r="19" spans="1:7" ht="18" customHeight="1" x14ac:dyDescent="0.3">
      <c r="A19" s="33" t="s">
        <v>36</v>
      </c>
      <c r="B19" s="33"/>
      <c r="C19" s="33"/>
      <c r="D19" s="33"/>
      <c r="E19" s="33"/>
      <c r="F19" s="33"/>
      <c r="G19" s="33"/>
    </row>
  </sheetData>
  <mergeCells count="7">
    <mergeCell ref="A18:G18"/>
    <mergeCell ref="A19:G19"/>
    <mergeCell ref="B1:G1"/>
    <mergeCell ref="A14:G14"/>
    <mergeCell ref="A15:G15"/>
    <mergeCell ref="A16:G16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BAB3-AA55-4A7E-9E67-2024F1B41398}">
  <dimension ref="A1:E26"/>
  <sheetViews>
    <sheetView topLeftCell="A5" workbookViewId="0">
      <selection activeCell="I5" sqref="I5"/>
    </sheetView>
  </sheetViews>
  <sheetFormatPr baseColWidth="10" defaultColWidth="9.109375" defaultRowHeight="14.4" x14ac:dyDescent="0.3"/>
  <cols>
    <col min="2" max="2" width="56" customWidth="1"/>
    <col min="3" max="3" width="19.5546875" customWidth="1"/>
    <col min="4" max="4" width="12" customWidth="1"/>
    <col min="5" max="5" width="12.33203125" customWidth="1"/>
  </cols>
  <sheetData>
    <row r="1" spans="1:5" ht="15.6" x14ac:dyDescent="0.3">
      <c r="A1" s="15" t="s">
        <v>37</v>
      </c>
      <c r="B1" s="16" t="str">
        <f>'Release Plan'!B1</f>
        <v>Plataforma de Telemedicina para Zonas Rurales</v>
      </c>
      <c r="C1" s="16"/>
      <c r="D1" s="16"/>
      <c r="E1" s="16"/>
    </row>
    <row r="2" spans="1:5" x14ac:dyDescent="0.3">
      <c r="A2" s="17" t="s">
        <v>2</v>
      </c>
      <c r="B2" s="41" t="s">
        <v>79</v>
      </c>
      <c r="C2" s="19"/>
      <c r="D2" s="19"/>
      <c r="E2" s="19"/>
    </row>
    <row r="3" spans="1:5" ht="15.6" x14ac:dyDescent="0.3">
      <c r="A3" s="16" t="s">
        <v>38</v>
      </c>
      <c r="B3" s="16"/>
      <c r="C3" s="16"/>
      <c r="D3" s="16"/>
      <c r="E3" s="16"/>
    </row>
    <row r="4" spans="1:5" ht="30" customHeight="1" x14ac:dyDescent="0.3">
      <c r="A4" s="20" t="s">
        <v>9</v>
      </c>
      <c r="B4" s="20" t="s">
        <v>39</v>
      </c>
      <c r="C4" s="20" t="s">
        <v>40</v>
      </c>
      <c r="D4" s="20" t="s">
        <v>41</v>
      </c>
      <c r="E4" s="20" t="s">
        <v>11</v>
      </c>
    </row>
    <row r="5" spans="1:5" ht="45.75" customHeight="1" x14ac:dyDescent="0.3">
      <c r="A5" s="21" t="s">
        <v>42</v>
      </c>
      <c r="B5" s="22" t="s">
        <v>43</v>
      </c>
      <c r="C5" s="23" t="s">
        <v>44</v>
      </c>
      <c r="D5" s="24" t="s">
        <v>45</v>
      </c>
      <c r="E5" s="18">
        <v>2</v>
      </c>
    </row>
    <row r="6" spans="1:5" ht="45.75" customHeight="1" x14ac:dyDescent="0.3">
      <c r="A6" s="21" t="s">
        <v>42</v>
      </c>
      <c r="B6" s="22" t="s">
        <v>46</v>
      </c>
      <c r="C6" s="23" t="s">
        <v>44</v>
      </c>
      <c r="D6" s="24" t="s">
        <v>45</v>
      </c>
      <c r="E6" s="18">
        <v>3</v>
      </c>
    </row>
    <row r="7" spans="1:5" ht="45.75" customHeight="1" x14ac:dyDescent="0.3">
      <c r="A7" s="21" t="s">
        <v>42</v>
      </c>
      <c r="B7" s="22" t="s">
        <v>47</v>
      </c>
      <c r="C7" s="23" t="s">
        <v>48</v>
      </c>
      <c r="D7" s="24" t="s">
        <v>45</v>
      </c>
      <c r="E7" s="18">
        <v>3</v>
      </c>
    </row>
    <row r="8" spans="1:5" ht="45.75" customHeight="1" x14ac:dyDescent="0.3">
      <c r="A8" s="21" t="s">
        <v>42</v>
      </c>
      <c r="B8" s="22" t="s">
        <v>49</v>
      </c>
      <c r="C8" s="23" t="s">
        <v>50</v>
      </c>
      <c r="D8" s="24" t="s">
        <v>45</v>
      </c>
      <c r="E8" s="18">
        <v>3</v>
      </c>
    </row>
    <row r="9" spans="1:5" ht="45.75" customHeight="1" x14ac:dyDescent="0.3">
      <c r="A9" s="21" t="s">
        <v>51</v>
      </c>
      <c r="B9" s="22" t="s">
        <v>52</v>
      </c>
      <c r="C9" s="23" t="s">
        <v>50</v>
      </c>
      <c r="D9" s="24" t="s">
        <v>45</v>
      </c>
      <c r="E9" s="18">
        <v>3</v>
      </c>
    </row>
    <row r="10" spans="1:5" ht="45.75" customHeight="1" x14ac:dyDescent="0.3">
      <c r="A10" s="21" t="s">
        <v>51</v>
      </c>
      <c r="B10" s="22" t="s">
        <v>53</v>
      </c>
      <c r="C10" s="23" t="s">
        <v>54</v>
      </c>
      <c r="D10" s="24" t="s">
        <v>45</v>
      </c>
      <c r="E10" s="18">
        <v>4</v>
      </c>
    </row>
    <row r="11" spans="1:5" ht="45.75" customHeight="1" x14ac:dyDescent="0.3">
      <c r="A11" s="21" t="s">
        <v>51</v>
      </c>
      <c r="B11" s="22" t="s">
        <v>55</v>
      </c>
      <c r="C11" s="23" t="s">
        <v>48</v>
      </c>
      <c r="D11" s="24" t="s">
        <v>45</v>
      </c>
      <c r="E11" s="18">
        <v>4</v>
      </c>
    </row>
    <row r="12" spans="1:5" ht="45.75" customHeight="1" x14ac:dyDescent="0.3">
      <c r="A12" s="21" t="s">
        <v>51</v>
      </c>
      <c r="B12" s="22" t="s">
        <v>56</v>
      </c>
      <c r="C12" s="23" t="s">
        <v>44</v>
      </c>
      <c r="D12" s="24" t="s">
        <v>45</v>
      </c>
      <c r="E12" s="18">
        <v>5</v>
      </c>
    </row>
    <row r="13" spans="1:5" ht="45.75" customHeight="1" x14ac:dyDescent="0.3">
      <c r="A13" s="21" t="s">
        <v>57</v>
      </c>
      <c r="B13" s="22" t="s">
        <v>58</v>
      </c>
      <c r="C13" s="23" t="s">
        <v>54</v>
      </c>
      <c r="D13" s="24" t="s">
        <v>45</v>
      </c>
      <c r="E13" s="18">
        <v>3</v>
      </c>
    </row>
    <row r="14" spans="1:5" ht="45.75" customHeight="1" x14ac:dyDescent="0.3">
      <c r="A14" s="21" t="s">
        <v>57</v>
      </c>
      <c r="B14" s="22" t="s">
        <v>59</v>
      </c>
      <c r="C14" s="23" t="s">
        <v>50</v>
      </c>
      <c r="D14" s="24" t="s">
        <v>45</v>
      </c>
      <c r="E14" s="18">
        <v>3</v>
      </c>
    </row>
    <row r="15" spans="1:5" ht="45.75" customHeight="1" x14ac:dyDescent="0.3">
      <c r="A15" s="21" t="s">
        <v>57</v>
      </c>
      <c r="B15" s="22" t="s">
        <v>60</v>
      </c>
      <c r="C15" s="23" t="s">
        <v>48</v>
      </c>
      <c r="D15" s="24" t="s">
        <v>45</v>
      </c>
      <c r="E15" s="18">
        <v>4</v>
      </c>
    </row>
    <row r="16" spans="1:5" ht="45.75" customHeight="1" x14ac:dyDescent="0.3">
      <c r="A16" s="21" t="s">
        <v>57</v>
      </c>
      <c r="B16" s="22" t="s">
        <v>61</v>
      </c>
      <c r="C16" s="23" t="s">
        <v>44</v>
      </c>
      <c r="D16" s="24" t="s">
        <v>45</v>
      </c>
      <c r="E16" s="18">
        <v>2</v>
      </c>
    </row>
    <row r="17" spans="1:5" ht="45.75" customHeight="1" x14ac:dyDescent="0.3">
      <c r="A17" s="21" t="s">
        <v>62</v>
      </c>
      <c r="B17" s="22" t="s">
        <v>63</v>
      </c>
      <c r="C17" s="23" t="s">
        <v>50</v>
      </c>
      <c r="D17" s="25" t="s">
        <v>64</v>
      </c>
      <c r="E17" s="18">
        <v>0</v>
      </c>
    </row>
    <row r="18" spans="1:5" ht="45.75" customHeight="1" x14ac:dyDescent="0.3">
      <c r="A18" s="21" t="s">
        <v>62</v>
      </c>
      <c r="B18" s="22" t="s">
        <v>65</v>
      </c>
      <c r="C18" s="23" t="s">
        <v>66</v>
      </c>
      <c r="D18" s="25" t="s">
        <v>64</v>
      </c>
      <c r="E18" s="18">
        <v>0</v>
      </c>
    </row>
    <row r="19" spans="1:5" ht="45.75" customHeight="1" x14ac:dyDescent="0.3">
      <c r="A19" s="21" t="s">
        <v>62</v>
      </c>
      <c r="B19" s="22" t="s">
        <v>67</v>
      </c>
      <c r="C19" s="23" t="s">
        <v>48</v>
      </c>
      <c r="D19" s="25" t="s">
        <v>64</v>
      </c>
      <c r="E19" s="18">
        <v>0</v>
      </c>
    </row>
    <row r="20" spans="1:5" ht="45.75" customHeight="1" x14ac:dyDescent="0.3">
      <c r="A20" s="21" t="s">
        <v>62</v>
      </c>
      <c r="B20" s="22" t="s">
        <v>68</v>
      </c>
      <c r="C20" s="23" t="s">
        <v>44</v>
      </c>
      <c r="D20" s="25" t="s">
        <v>64</v>
      </c>
      <c r="E20" s="18">
        <v>0</v>
      </c>
    </row>
    <row r="21" spans="1:5" ht="45.75" customHeight="1" x14ac:dyDescent="0.3">
      <c r="A21" s="21" t="s">
        <v>69</v>
      </c>
      <c r="B21" s="22" t="s">
        <v>70</v>
      </c>
      <c r="C21" s="23" t="s">
        <v>66</v>
      </c>
      <c r="D21" s="25" t="s">
        <v>64</v>
      </c>
      <c r="E21" s="18">
        <v>0</v>
      </c>
    </row>
    <row r="22" spans="1:5" ht="45.75" customHeight="1" x14ac:dyDescent="0.3">
      <c r="A22" s="21" t="s">
        <v>69</v>
      </c>
      <c r="B22" s="22" t="s">
        <v>71</v>
      </c>
      <c r="C22" s="23" t="s">
        <v>50</v>
      </c>
      <c r="D22" s="25" t="s">
        <v>64</v>
      </c>
      <c r="E22" s="18">
        <v>0</v>
      </c>
    </row>
    <row r="23" spans="1:5" ht="45.75" customHeight="1" x14ac:dyDescent="0.3">
      <c r="A23" s="21" t="s">
        <v>69</v>
      </c>
      <c r="B23" s="22" t="s">
        <v>72</v>
      </c>
      <c r="C23" s="23" t="s">
        <v>48</v>
      </c>
      <c r="D23" s="25" t="s">
        <v>64</v>
      </c>
      <c r="E23" s="18">
        <v>0</v>
      </c>
    </row>
    <row r="24" spans="1:5" ht="45.75" customHeight="1" x14ac:dyDescent="0.3">
      <c r="A24" s="21" t="s">
        <v>69</v>
      </c>
      <c r="B24" s="22" t="s">
        <v>73</v>
      </c>
      <c r="C24" s="23" t="s">
        <v>44</v>
      </c>
      <c r="D24" s="25" t="s">
        <v>64</v>
      </c>
      <c r="E24" s="18">
        <v>0</v>
      </c>
    </row>
    <row r="25" spans="1:5" ht="45.75" customHeight="1" x14ac:dyDescent="0.3">
      <c r="A25" s="21" t="s">
        <v>69</v>
      </c>
      <c r="B25" s="22" t="s">
        <v>74</v>
      </c>
      <c r="C25" s="23" t="s">
        <v>44</v>
      </c>
      <c r="D25" s="25" t="s">
        <v>64</v>
      </c>
      <c r="E25" s="18">
        <v>0</v>
      </c>
    </row>
    <row r="26" spans="1:5" x14ac:dyDescent="0.3">
      <c r="A26" s="26"/>
      <c r="B26" s="27"/>
      <c r="C26" s="27"/>
      <c r="D26" s="27"/>
      <c r="E26" s="26">
        <f t="shared" ref="E26" si="0">SUM(E13:E25)</f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showGridLines="0" topLeftCell="A9" zoomScale="127" zoomScaleNormal="100" workbookViewId="0">
      <selection activeCell="M4" sqref="M4"/>
    </sheetView>
  </sheetViews>
  <sheetFormatPr baseColWidth="10" defaultColWidth="8.6640625" defaultRowHeight="14.4" x14ac:dyDescent="0.3"/>
  <cols>
    <col min="1" max="1" width="25.44140625" customWidth="1"/>
    <col min="2" max="2" width="15.6640625" customWidth="1"/>
    <col min="3" max="3" width="20" customWidth="1"/>
  </cols>
  <sheetData>
    <row r="1" spans="1:3" x14ac:dyDescent="0.3">
      <c r="A1" s="29" t="s">
        <v>75</v>
      </c>
      <c r="B1" s="29" t="s">
        <v>41</v>
      </c>
    </row>
    <row r="2" spans="1:3" x14ac:dyDescent="0.3">
      <c r="A2" s="23" t="s">
        <v>50</v>
      </c>
      <c r="B2" s="30" t="s">
        <v>76</v>
      </c>
    </row>
    <row r="3" spans="1:3" x14ac:dyDescent="0.3">
      <c r="A3" s="31" t="s">
        <v>48</v>
      </c>
      <c r="B3" s="30" t="s">
        <v>76</v>
      </c>
    </row>
    <row r="4" spans="1:3" x14ac:dyDescent="0.3">
      <c r="A4" s="23" t="s">
        <v>66</v>
      </c>
      <c r="B4" s="30" t="s">
        <v>76</v>
      </c>
    </row>
    <row r="5" spans="1:3" x14ac:dyDescent="0.3">
      <c r="A5" s="32" t="s">
        <v>44</v>
      </c>
      <c r="B5" s="30" t="s">
        <v>76</v>
      </c>
    </row>
    <row r="6" spans="1:3" ht="15" customHeight="1" x14ac:dyDescent="0.3"/>
    <row r="8" spans="1:3" ht="14.4" customHeight="1" x14ac:dyDescent="0.3">
      <c r="A8" s="36" t="s">
        <v>31</v>
      </c>
      <c r="B8" s="36"/>
      <c r="C8" s="36"/>
    </row>
    <row r="9" spans="1:3" ht="26.25" customHeight="1" x14ac:dyDescent="0.3">
      <c r="A9" s="37" t="s">
        <v>77</v>
      </c>
      <c r="B9" s="37"/>
      <c r="C9" s="37"/>
    </row>
    <row r="10" spans="1:3" ht="30.75" customHeight="1" x14ac:dyDescent="0.3">
      <c r="A10" s="37" t="s">
        <v>78</v>
      </c>
      <c r="B10" s="37"/>
      <c r="C10" s="37"/>
    </row>
  </sheetData>
  <mergeCells count="3">
    <mergeCell ref="A8:C8"/>
    <mergeCell ref="A9:C9"/>
    <mergeCell ref="A10:C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Release Plan</vt:lpstr>
      <vt:lpstr>Development Plan V2</vt:lpstr>
      <vt:lpstr>Listas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Ignacio Antonio Ampuero Chacón</cp:lastModifiedBy>
  <cp:revision>0</cp:revision>
  <dcterms:created xsi:type="dcterms:W3CDTF">2026-03-20T00:19:56Z</dcterms:created>
  <dcterms:modified xsi:type="dcterms:W3CDTF">2026-05-25T23:32:06Z</dcterms:modified>
  <cp:category/>
  <cp:contentStatus/>
</cp:coreProperties>
</file>